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ductos" sheetId="2" state="visible" r:id="rId4"/>
    <sheet name="Registro_Ventas" sheetId="3" state="visible" r:id="rId5"/>
    <sheet name="Compras_Stock" sheetId="4" state="visible" r:id="rId6"/>
    <sheet name="Gas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<sst xmlns="http://schemas.openxmlformats.org/spreadsheetml/2006/main" count="47" uniqueCount="35">
  <si>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🏊 DASHBOARD - NEGOCIO DE PISCINAS</t>
  </si>
  <si>
    <t xml:space="preserve">📊 RESUMEN HOY</t>
  </si>
  <si>
    <t xml:space="preserve">📦 STOCK ACTUAL</t>
  </si>
  <si>
    <t xml:space="preserve">Ventas del día:</t>
  </si>
  <si>
    <t xml:space="preserve">Cloro granulado 1kg</t>
  </si>
  <si>
    <t xml:space="preserve">Ganancias del día:</t>
  </si>
  <si>
    <t xml:space="preserve">Cloro en pastillas 1kg</t>
  </si>
  <si>
    <t xml:space="preserve">Gastos del día:</t>
  </si>
  <si>
    <t xml:space="preserve">Alguicida 1lt</t>
  </si>
  <si>
    <t xml:space="preserve">Decantador 1lt</t>
  </si>
  <si>
    <t xml:space="preserve">📅 RESUMEN DEL MES</t>
  </si>
  <si>
    <t xml:space="preserve">Ventas del mes:</t>
  </si>
  <si>
    <t xml:space="preserve">🏆 PRODUCTOS MÁS VENDIDOS</t>
  </si>
  <si>
    <t xml:space="preserve">Ganancias del mes:</t>
  </si>
  <si>
    <t xml:space="preserve">(Ver Registro_Ventas)</t>
  </si>
  <si>
    <t xml:space="preserve">Gastos del mes:</t>
  </si>
  <si>
    <t xml:space="preserve">Ganancia neta:</t>
  </si>
  <si>
    <t xml:space="preserve">Producto</t>
  </si>
  <si>
    <t xml:space="preserve">Precio Venta</t>
  </si>
  <si>
    <t xml:space="preserve">Precio Costo</t>
  </si>
  <si>
    <t xml:space="preserve">Stock Actual</t>
  </si>
  <si>
    <t xml:space="preserve">Unidad</t>
  </si>
  <si>
    <t xml:space="preserve">kg</t>
  </si>
  <si>
    <t xml:space="preserve">lt</t>
  </si>
  <si>
    <t xml:space="preserve">Fecha</t>
  </si>
  <si>
    <t xml:space="preserve">Cantidad</t>
  </si>
  <si>
    <t xml:space="preserve">Cliente</t>
  </si>
  <si>
    <t xml:space="preserve">Precio Unitario</t>
  </si>
  <si>
    <t xml:space="preserve">Total Venta</t>
  </si>
  <si>
    <t xml:space="preserve">Costo Total</t>
  </si>
  <si>
    <t xml:space="preserve">Ganancia</t>
  </si>
  <si>
    <t xml:space="preserve">Precio Total</t>
  </si>
  <si>
    <t xml:space="preserve">Notas</t>
  </si>
  <si>
    <t xml:space="preserve">Concepto</t>
  </si>
  <si>
    <t xml:space="preserve">Monto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</si>
</sst>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70AD47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E74C3C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6"/>
      <color rgb="FF2C3E5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4472C4"/>
        <bgColor rgb="FF0066CC"/>
      </patternFill>
    </fill>
    <fill>
      <patternFill patternType="solid">
        <fgColor rgb="FFE67E22"/>
        <bgColor rgb="FFFF9900"/>
      </patternFill>
    </fill>
    <fill>
      <patternFill patternType="solid">
        <fgColor rgb="FF9B59B6"/>
        <bgColor rgb="FF808080"/>
      </patternFill>
    </fill>
    <fill>
      <patternFill patternType="solid">
        <fgColor rgb="FF16A085"/>
        <bgColor rgb="FF008080"/>
      </patternFill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E74C3C"/>
        <bgColor rgb="FFE67E2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67E22"/>
      <rgbColor rgb="FF9B59B6"/>
      <rgbColor rgb="FF70AD47"/>
      <rgbColor rgb="FF003366"/>
      <rgbColor rgb="FF16A085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5" min="5" style="0" width="25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  <c r="B3" s="2"/>
      <c r="C3" s="2"/>
      <c r="E3" s="3" t="s">
        <v>2</v>
      </c>
      <c r="F3" s="3"/>
    </row>
    <row r="4" customFormat="false" ht="17.35" hidden="false" customHeight="false" outlineLevel="0" collapsed="false">
      <c r="A4" s="0" t="s">
        <v>3</v>
      </c>
      <c r="B4" s="4" t="n">
        <f aca="true">SUMIFS(Registro_Ventas!F:F,Registro_Ventas!A:A,TODAY())</f>
        <v>0</v>
      </c>
      <c r="E4" s="5" t="s">
        <v>4</v>
      </c>
      <c r="F4" s="6" t="n">
        <f aca="false">Productos!D2</f>
        <v>48</v>
      </c>
    </row>
    <row r="5" customFormat="false" ht="17.35" hidden="false" customHeight="false" outlineLevel="0" collapsed="false">
      <c r="A5" s="0" t="s">
        <v>5</v>
      </c>
      <c r="B5" s="4" t="n">
        <f aca="true">SUMIFS(Registro_Ventas!H:H,Registro_Ventas!A:A,TODAY())</f>
        <v>0</v>
      </c>
      <c r="E5" s="5" t="s">
        <v>6</v>
      </c>
      <c r="F5" s="6" t="n">
        <f aca="false">Productos!D3</f>
        <v>22</v>
      </c>
    </row>
    <row r="6" customFormat="false" ht="17.35" hidden="false" customHeight="false" outlineLevel="0" collapsed="false">
      <c r="A6" s="0" t="s">
        <v>7</v>
      </c>
      <c r="B6" s="7" t="n">
        <f aca="true">SUMIFS(Gastos!C:C,Gastos!A:A,TODAY())</f>
        <v>0</v>
      </c>
      <c r="E6" s="5" t="s">
        <v>8</v>
      </c>
      <c r="F6" s="6" t="n">
        <f aca="false">Productos!D4</f>
        <v>18</v>
      </c>
    </row>
    <row r="7" customFormat="false" ht="15" hidden="false" customHeight="false" outlineLevel="0" collapsed="false">
      <c r="E7" s="0" t="s">
        <v>9</v>
      </c>
      <c r="F7" s="6" t="n">
        <f aca="false">Productos!D5</f>
        <v>6</v>
      </c>
    </row>
    <row r="8" customFormat="false" ht="17.35" hidden="false" customHeight="false" outlineLevel="0" collapsed="false">
      <c r="A8" s="8" t="s">
        <v>10</v>
      </c>
      <c r="B8" s="8"/>
      <c r="C8" s="8"/>
    </row>
    <row r="9" customFormat="false" ht="17.35" hidden="false" customHeight="false" outlineLevel="0" collapsed="false">
      <c r="A9" s="0" t="s">
        <v>11</v>
      </c>
      <c r="B9" s="9" t="n">
        <f aca="true">SUMIFS(Registro_Ventas!F:F,Registro_Ventas!A:A,"&gt;="&amp;DATE(YEAR(TODAY()),MONTH(TODAY()),1))</f>
        <v>0</v>
      </c>
      <c r="E9" s="10" t="s">
        <v>12</v>
      </c>
      <c r="F9" s="10"/>
    </row>
    <row r="10" customFormat="false" ht="17.35" hidden="false" customHeight="false" outlineLevel="0" collapsed="false">
      <c r="A10" s="0" t="s">
        <v>13</v>
      </c>
      <c r="B10" s="4" t="n">
        <f aca="true">SUMIFS(Registro_Ventas!H:H,Registro_Ventas!A:A,"&gt;="&amp;DATE(YEAR(TODAY()),MONTH(TODAY()),1))</f>
        <v>0</v>
      </c>
      <c r="E10" s="11" t="s">
        <v>14</v>
      </c>
    </row>
    <row r="11" customFormat="false" ht="17.35" hidden="false" customHeight="false" outlineLevel="0" collapsed="false">
      <c r="A11" s="0" t="s">
        <v>15</v>
      </c>
      <c r="B11" s="7" t="n">
        <f aca="true">SUMIFS(Gastos!C:C,Gastos!A:A,"&gt;="&amp;DATE(YEAR(TODAY()),MONTH(TODAY()),1))</f>
        <v>0</v>
      </c>
    </row>
    <row r="12" customFormat="false" ht="19.7" hidden="false" customHeight="false" outlineLevel="0" collapsed="false">
      <c r="A12" s="0" t="s">
        <v>16</v>
      </c>
      <c r="B12" s="12" t="n">
        <f aca="false">B10-B11</f>
        <v>0</v>
      </c>
    </row>
  </sheetData>
  <mergeCells count="5">
    <mergeCell ref="A1:F1"/>
    <mergeCell ref="A3:C3"/>
    <mergeCell ref="E3:F3"/>
    <mergeCell ref="A8:C8"/>
    <mergeCell ref="E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</row>
    <row r="2" customFormat="false" ht="15" hidden="false" customHeight="false" outlineLevel="0" collapsed="false">
      <c r="A2" s="0" t="s">
        <v>4</v>
      </c>
      <c r="B2" s="14" t="n">
        <v>9000</v>
      </c>
      <c r="C2" s="14" t="n">
        <v>5000</v>
      </c>
      <c r="D2" s="0" t="n">
        <v>48</v>
      </c>
      <c r="E2" s="5" t="s">
        <v>22</v>
      </c>
    </row>
    <row r="3" customFormat="false" ht="15" hidden="false" customHeight="false" outlineLevel="0" collapsed="false">
      <c r="A3" s="0" t="s">
        <v>6</v>
      </c>
      <c r="B3" s="14" t="n">
        <v>10000</v>
      </c>
      <c r="C3" s="14" t="n">
        <v>5300</v>
      </c>
      <c r="D3" s="0" t="n">
        <v>22</v>
      </c>
      <c r="E3" s="5" t="s">
        <v>22</v>
      </c>
    </row>
    <row r="4" customFormat="false" ht="15" hidden="false" customHeight="false" outlineLevel="0" collapsed="false">
      <c r="A4" s="0" t="s">
        <v>8</v>
      </c>
      <c r="B4" s="14" t="n">
        <v>7000</v>
      </c>
      <c r="C4" s="14" t="n">
        <v>4900</v>
      </c>
      <c r="D4" s="0" t="n">
        <v>18</v>
      </c>
      <c r="E4" s="5" t="s">
        <v>23</v>
      </c>
    </row>
    <row r="5" customFormat="false" ht="15" hidden="false" customHeight="false" outlineLevel="0" collapsed="false">
      <c r="A5" s="0" t="s">
        <v>9</v>
      </c>
      <c r="B5" s="14" t="n">
        <v>7000</v>
      </c>
      <c r="C5" s="14" t="n">
        <v>4600</v>
      </c>
      <c r="D5" s="0" t="n">
        <v>6</v>
      </c>
      <c r="E5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8" min="5" style="0" width="15"/>
  </cols>
  <sheetData>
    <row r="1" customFormat="false" ht="15" hidden="false" customHeight="false" outlineLevel="0" collapsed="false">
      <c r="A1" s="15" t="s">
        <v>24</v>
      </c>
      <c r="B1" s="15" t="s">
        <v>17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6" t="s">
        <v>24</v>
      </c>
      <c r="B1" s="16" t="s">
        <v>17</v>
      </c>
      <c r="C1" s="16" t="s">
        <v>25</v>
      </c>
      <c r="D1" s="16" t="s">
        <v>31</v>
      </c>
      <c r="E1" s="1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7" t="s">
        <v>24</v>
      </c>
      <c r="B1" s="17" t="s">
        <v>33</v>
      </c>
      <c r="C1" s="17" t="s">
        <v>34</v>
      </c>
      <c r="D1" s="1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2026-02-08T18:44:47Z</dcterms:created>
  <dc:creator>openpyxl</dc:creator>
  <dc:description/>
  <dc:language>en-US</dc:language>
  <cp:lastModifiedBy/>
  <dcterms:modified xsi:type="dcterms:W3CDTF">2026-02-08T18:44:47Z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